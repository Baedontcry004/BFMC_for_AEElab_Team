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ctap\autonomous_vehicle\BOSCH 2025\AEElab-BFMC2026\Monitoring\"/>
    </mc:Choice>
  </mc:AlternateContent>
  <xr:revisionPtr revIDLastSave="0" documentId="13_ncr:1_{923323B0-7167-44B4-AB18-B8767C5052B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ime_table" sheetId="1" r:id="rId1"/>
    <sheet name="Sheet1" sheetId="2" r:id="rId2"/>
  </sheets>
  <definedNames>
    <definedName name="_23_november">Time_table!$B$2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" i="1" l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S2" i="1" s="1"/>
  <c r="T2" i="1" s="1"/>
  <c r="U2" i="1" s="1"/>
  <c r="V2" i="1" s="1"/>
  <c r="W2" i="1" s="1"/>
  <c r="X2" i="1" s="1"/>
  <c r="Y2" i="1" s="1"/>
  <c r="Z2" i="1" s="1"/>
  <c r="C2" i="1"/>
  <c r="E20" i="1" l="1"/>
  <c r="C1" i="1"/>
  <c r="D1" i="1" s="1"/>
  <c r="E1" i="1" s="1"/>
  <c r="F1" i="1" s="1"/>
  <c r="G1" i="1" s="1"/>
  <c r="H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AA2" i="1" l="1"/>
</calcChain>
</file>

<file path=xl/sharedStrings.xml><?xml version="1.0" encoding="utf-8"?>
<sst xmlns="http://schemas.openxmlformats.org/spreadsheetml/2006/main" count="50" uniqueCount="46">
  <si>
    <t xml:space="preserve">Lane detection </t>
  </si>
  <si>
    <t>Traffic sign detection</t>
  </si>
  <si>
    <t>Final result &amp; Demo</t>
  </si>
  <si>
    <t>Start of the week</t>
  </si>
  <si>
    <t>BFMC</t>
  </si>
  <si>
    <t>Working Weeks</t>
  </si>
  <si>
    <t>Robot can keep a lane, can make a curve</t>
  </si>
  <si>
    <t>Intersection navigation</t>
  </si>
  <si>
    <t>Traffic light detection</t>
  </si>
  <si>
    <t>Object detection &amp; classification</t>
  </si>
  <si>
    <t>Robot can go on a pre-determined path, stop at stop sign, park at parking sign, slow at crosswalk</t>
  </si>
  <si>
    <t>Finals</t>
  </si>
  <si>
    <t>Team installs the virtual testing environment</t>
  </si>
  <si>
    <t>Deadlines</t>
  </si>
  <si>
    <t>Checkpoint</t>
  </si>
  <si>
    <t>Mid-term quality gate</t>
  </si>
  <si>
    <t>3rd report</t>
  </si>
  <si>
    <t>2nd report</t>
  </si>
  <si>
    <t>1st report</t>
  </si>
  <si>
    <t>Sensing and input working package</t>
  </si>
  <si>
    <t>Perception and scene understanding working package</t>
  </si>
  <si>
    <t>Vehicle control working packages</t>
  </si>
  <si>
    <t>Behaviour and motion plan working package</t>
  </si>
  <si>
    <t>Camera handling, preprocessing, noise cancelling, ROIs definition</t>
  </si>
  <si>
    <t>Define other necessary sensors, define use-case, integration (IMU, distance), preprocessing, noise cancelling.</t>
  </si>
  <si>
    <t>Other functionalities and optimizations</t>
  </si>
  <si>
    <t>Induce noise on all sensors and systems</t>
  </si>
  <si>
    <t>Documentation on the given guides and projects.
Chose main languages and technologies
Create/adapt project plan
Members tasks asignation</t>
  </si>
  <si>
    <t>Team can control the phisical car remotely and the virtual car on the simulator.</t>
  </si>
  <si>
    <t>Position fusion</t>
  </si>
  <si>
    <t>Traffic lights detection &amp; classification</t>
  </si>
  <si>
    <t>Define objects properties file</t>
  </si>
  <si>
    <t>Environmental server interaction</t>
  </si>
  <si>
    <t>Define use-case and test given servers information (localisation on map, cars interaction, gps interaction)</t>
  </si>
  <si>
    <t xml:space="preserve">Define project architecture and communication between packages </t>
  </si>
  <si>
    <t>Define path planning and validation</t>
  </si>
  <si>
    <t>Define robustness and safety measures</t>
  </si>
  <si>
    <t>Define decision making --&gt; priorities of actions and state flow</t>
  </si>
  <si>
    <t>Lane following and speed control</t>
  </si>
  <si>
    <t>Induce noise on systems to valdiate robustness (loss of image, burned image, road search, undefined objects and states)</t>
  </si>
  <si>
    <t>Complex action taking maneuvers (swith lane for static and mobile car, road search)</t>
  </si>
  <si>
    <t>Simpla action taking maneuvers (parking, stop for traffic sign, stop for traffic light, stop for pedestrian)</t>
  </si>
  <si>
    <t>Robot can navigate in intersection</t>
  </si>
  <si>
    <t xml:space="preserve">While detecting and calculating it's position, the robot can dynamicaly go to specified checkpoint, react to traffic lights, interact with other cars and send environemt data) </t>
  </si>
  <si>
    <t>Team defines a way of parallel developing and testing</t>
  </si>
  <si>
    <t>Team defines and creates its own physical testing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</si>
</sst>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8]d\-mmm;@"/>
  </numFmts>
  <fonts count="4" x14ac:knownFonts="1">
    <font>
      <sz val="10"/>
      <color theme="1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15" xfId="0" applyBorder="1" applyAlignment="1">
      <alignment horizontal="left" vertical="center" wrapText="1"/>
    </xf>
    <xf numFmtId="164" fontId="0" fillId="0" borderId="16" xfId="0" applyNumberForma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164" fontId="2" fillId="0" borderId="17" xfId="1" applyNumberFormat="1" applyFont="1" applyFill="1" applyBorder="1" applyAlignment="1">
      <alignment horizontal="left" vertical="center" wrapText="1"/>
    </xf>
    <xf numFmtId="0" fontId="0" fillId="3" borderId="16" xfId="0" applyFill="1" applyBorder="1"/>
    <xf numFmtId="0" fontId="0" fillId="4" borderId="16" xfId="0" applyFill="1" applyBorder="1"/>
    <xf numFmtId="0" fontId="0" fillId="0" borderId="0" xfId="0" applyAlignment="1">
      <alignment horizontal="left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0" fillId="5" borderId="16" xfId="0" applyFill="1" applyBorder="1"/>
    <xf numFmtId="164" fontId="0" fillId="3" borderId="14" xfId="0" applyNumberFormat="1" applyFill="1" applyBorder="1" applyAlignment="1">
      <alignment wrapText="1"/>
    </xf>
    <xf numFmtId="164" fontId="3" fillId="0" borderId="17" xfId="1" applyNumberFormat="1" applyFont="1" applyFill="1" applyBorder="1" applyAlignment="1">
      <alignment horizontal="center" vertical="center" wrapText="1"/>
    </xf>
    <xf numFmtId="0" fontId="0" fillId="0" borderId="24" xfId="0" applyBorder="1" applyAlignment="1">
      <alignment wrapText="1"/>
    </xf>
    <xf numFmtId="0" fontId="0" fillId="3" borderId="16" xfId="0" applyFill="1" applyBorder="1" applyAlignment="1">
      <alignment wrapText="1"/>
    </xf>
    <xf numFmtId="164" fontId="0" fillId="0" borderId="26" xfId="0" applyNumberFormat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64" fontId="0" fillId="4" borderId="26" xfId="0" applyNumberFormat="1" applyFill="1" applyBorder="1" applyAlignment="1">
      <alignment horizontal="left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27" xfId="0" applyBorder="1" applyAlignment="1">
      <alignment vertical="center" wrapText="1"/>
    </xf>
    <xf numFmtId="0" fontId="0" fillId="0" borderId="11" xfId="0" applyBorder="1" applyAlignment="1">
      <alignment wrapText="1"/>
    </xf>
    <xf numFmtId="164" fontId="0" fillId="4" borderId="0" xfId="0" applyNumberFormat="1" applyFill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164" fontId="0" fillId="0" borderId="27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0" borderId="30" xfId="0" applyBorder="1" applyAlignment="1">
      <alignment wrapText="1"/>
    </xf>
    <xf numFmtId="0" fontId="0" fillId="0" borderId="30" xfId="0" applyBorder="1"/>
    <xf numFmtId="0" fontId="0" fillId="4" borderId="30" xfId="0" applyFill="1" applyBorder="1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0" borderId="28" xfId="0" applyBorder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/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4" borderId="2" xfId="0" applyFill="1" applyBorder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164" fontId="0" fillId="4" borderId="4" xfId="0" applyNumberFormat="1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29" xfId="0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4" borderId="16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0" xfId="0" applyFill="1" applyAlignment="1">
      <alignment horizontal="left" vertical="center" wrapText="1"/>
    </xf>
    <xf numFmtId="0" fontId="0" fillId="4" borderId="2" xfId="0" applyFill="1" applyBorder="1"/>
    <xf numFmtId="0" fontId="0" fillId="4" borderId="34" xfId="0" applyFill="1" applyBorder="1" applyAlignment="1">
      <alignment wrapText="1"/>
    </xf>
    <xf numFmtId="0" fontId="0" fillId="4" borderId="34" xfId="0" applyFill="1" applyBorder="1"/>
    <xf numFmtId="164" fontId="0" fillId="4" borderId="2" xfId="0" applyNumberFormat="1" applyFill="1" applyBorder="1" applyAlignment="1">
      <alignment wrapText="1"/>
    </xf>
    <xf numFmtId="0" fontId="0" fillId="4" borderId="35" xfId="0" applyFill="1" applyBorder="1" applyAlignment="1">
      <alignment wrapText="1"/>
    </xf>
    <xf numFmtId="164" fontId="0" fillId="6" borderId="0" xfId="0" applyNumberFormat="1" applyFill="1" applyAlignment="1">
      <alignment horizontal="left" vertical="center" wrapText="1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0" fillId="6" borderId="0" xfId="0" applyFill="1"/>
    <xf numFmtId="0" fontId="0" fillId="6" borderId="2" xfId="0" applyFill="1" applyBorder="1" applyAlignment="1">
      <alignment wrapText="1"/>
    </xf>
    <xf numFmtId="164" fontId="0" fillId="6" borderId="14" xfId="0" applyNumberFormat="1" applyFill="1" applyBorder="1" applyAlignment="1">
      <alignment wrapText="1"/>
    </xf>
    <xf numFmtId="0" fontId="0" fillId="6" borderId="16" xfId="0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164" fontId="2" fillId="3" borderId="0" xfId="0" applyNumberFormat="1" applyFont="1" applyFill="1" applyAlignment="1">
      <alignment horizontal="left" vertical="center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"/>
  <sheetViews>
    <sheetView showGridLines="0" tabSelected="1" topLeftCell="N1" zoomScale="70" zoomScaleNormal="85" workbookViewId="0">
      <selection activeCell="AC15" sqref="AC15"/>
    </sheetView>
  </sheetViews>
  <sheetFormatPr defaultRowHeight="13.2" x14ac:dyDescent="0.25"/>
  <cols>
    <col min="1" max="1" width="39" customWidth="1"/>
    <col min="2" max="2" width="22.109375" bestFit="1" customWidth="1"/>
    <col min="3" max="3" width="7.88671875" bestFit="1" customWidth="1"/>
    <col min="4" max="4" width="9.88671875" customWidth="1"/>
    <col min="5" max="5" width="9" bestFit="1" customWidth="1"/>
    <col min="6" max="7" width="7.6640625" style="59" bestFit="1" customWidth="1"/>
    <col min="8" max="8" width="7.109375" bestFit="1" customWidth="1"/>
    <col min="9" max="9" width="7.109375" customWidth="1"/>
    <col min="10" max="10" width="8.88671875" customWidth="1"/>
    <col min="11" max="11" width="9.5546875" style="59" bestFit="1" customWidth="1"/>
    <col min="12" max="12" width="7.109375" customWidth="1"/>
    <col min="13" max="13" width="8.77734375" customWidth="1"/>
    <col min="14" max="14" width="7.44140625" customWidth="1"/>
    <col min="15" max="15" width="9.33203125" style="59" customWidth="1"/>
    <col min="16" max="16" width="7.44140625" customWidth="1"/>
    <col min="17" max="17" width="8.44140625" customWidth="1"/>
    <col min="18" max="18" width="7.88671875" customWidth="1"/>
    <col min="19" max="19" width="10.5546875" style="59" customWidth="1"/>
    <col min="20" max="20" width="9.33203125" customWidth="1"/>
    <col min="21" max="21" width="7.88671875" customWidth="1"/>
    <col min="22" max="22" width="8" customWidth="1"/>
    <col min="23" max="23" width="9" style="59" customWidth="1"/>
    <col min="24" max="24" width="7.6640625" customWidth="1"/>
    <col min="25" max="25" width="8" customWidth="1"/>
    <col min="26" max="26" width="9.109375" customWidth="1"/>
    <col min="27" max="27" width="7.109375" customWidth="1"/>
  </cols>
  <sheetData>
    <row r="1" spans="1:27" ht="13.8" thickBot="1" x14ac:dyDescent="0.3">
      <c r="A1" s="5" t="s">
        <v>5</v>
      </c>
      <c r="B1" s="6">
        <v>1</v>
      </c>
      <c r="C1" s="6">
        <f>B1+1</f>
        <v>2</v>
      </c>
      <c r="D1" s="6">
        <f t="shared" ref="D1:Y1" si="0">C1+1</f>
        <v>3</v>
      </c>
      <c r="E1" s="9">
        <f t="shared" si="0"/>
        <v>4</v>
      </c>
      <c r="F1" s="10">
        <f t="shared" si="0"/>
        <v>5</v>
      </c>
      <c r="G1" s="10">
        <f t="shared" si="0"/>
        <v>6</v>
      </c>
      <c r="H1" s="6">
        <f t="shared" si="0"/>
        <v>7</v>
      </c>
      <c r="I1" s="6"/>
      <c r="J1" s="13">
        <f>H1+1</f>
        <v>8</v>
      </c>
      <c r="K1" s="10">
        <f t="shared" si="0"/>
        <v>9</v>
      </c>
      <c r="L1" s="6">
        <f t="shared" si="0"/>
        <v>10</v>
      </c>
      <c r="M1" s="6">
        <f t="shared" si="0"/>
        <v>11</v>
      </c>
      <c r="N1" s="6">
        <f t="shared" si="0"/>
        <v>12</v>
      </c>
      <c r="O1" s="10">
        <f t="shared" si="0"/>
        <v>13</v>
      </c>
      <c r="P1" s="6">
        <f t="shared" si="0"/>
        <v>14</v>
      </c>
      <c r="Q1" s="6">
        <f t="shared" si="0"/>
        <v>15</v>
      </c>
      <c r="R1" s="6">
        <f t="shared" si="0"/>
        <v>16</v>
      </c>
      <c r="S1" s="10">
        <f t="shared" si="0"/>
        <v>17</v>
      </c>
      <c r="T1" s="10">
        <f t="shared" si="0"/>
        <v>18</v>
      </c>
      <c r="U1" s="6">
        <f t="shared" si="0"/>
        <v>19</v>
      </c>
      <c r="V1" s="6">
        <f t="shared" si="0"/>
        <v>20</v>
      </c>
      <c r="W1" s="10">
        <f t="shared" si="0"/>
        <v>21</v>
      </c>
      <c r="X1" s="6">
        <f t="shared" si="0"/>
        <v>22</v>
      </c>
      <c r="Y1" s="6">
        <f t="shared" si="0"/>
        <v>23</v>
      </c>
      <c r="Z1" s="6">
        <v>24</v>
      </c>
      <c r="AA1" s="7">
        <v>25</v>
      </c>
    </row>
    <row r="2" spans="1:27" ht="13.8" thickBot="1" x14ac:dyDescent="0.3">
      <c r="A2" s="3" t="s">
        <v>3</v>
      </c>
      <c r="B2" s="4">
        <v>45986</v>
      </c>
      <c r="C2" s="18">
        <f>B2+7</f>
        <v>45993</v>
      </c>
      <c r="D2" s="18">
        <f t="shared" ref="D2:Z2" si="1">C2+7</f>
        <v>46000</v>
      </c>
      <c r="E2" s="18">
        <f t="shared" si="1"/>
        <v>46007</v>
      </c>
      <c r="F2" s="18">
        <f t="shared" si="1"/>
        <v>46014</v>
      </c>
      <c r="G2" s="18">
        <f t="shared" si="1"/>
        <v>46021</v>
      </c>
      <c r="H2" s="18">
        <f t="shared" si="1"/>
        <v>46028</v>
      </c>
      <c r="I2" s="18">
        <f t="shared" si="1"/>
        <v>46035</v>
      </c>
      <c r="J2" s="18">
        <f t="shared" si="1"/>
        <v>46042</v>
      </c>
      <c r="K2" s="21">
        <f t="shared" si="1"/>
        <v>46049</v>
      </c>
      <c r="L2" s="18">
        <f t="shared" si="1"/>
        <v>46056</v>
      </c>
      <c r="M2" s="18">
        <f t="shared" si="1"/>
        <v>46063</v>
      </c>
      <c r="N2" s="18">
        <f t="shared" si="1"/>
        <v>46070</v>
      </c>
      <c r="O2" s="21">
        <f t="shared" si="1"/>
        <v>46077</v>
      </c>
      <c r="P2" s="18">
        <f t="shared" si="1"/>
        <v>46084</v>
      </c>
      <c r="Q2" s="18">
        <f t="shared" si="1"/>
        <v>46091</v>
      </c>
      <c r="R2" s="18">
        <f>Q2+7</f>
        <v>46098</v>
      </c>
      <c r="S2" s="21">
        <f t="shared" si="1"/>
        <v>46105</v>
      </c>
      <c r="T2" s="18">
        <f t="shared" si="1"/>
        <v>46112</v>
      </c>
      <c r="U2" s="18">
        <f t="shared" si="1"/>
        <v>46119</v>
      </c>
      <c r="V2" s="18">
        <f t="shared" si="1"/>
        <v>46126</v>
      </c>
      <c r="W2" s="21">
        <f t="shared" si="1"/>
        <v>46133</v>
      </c>
      <c r="X2" s="18">
        <f t="shared" si="1"/>
        <v>46140</v>
      </c>
      <c r="Y2" s="18">
        <f t="shared" si="1"/>
        <v>46147</v>
      </c>
      <c r="Z2" s="18">
        <f t="shared" si="1"/>
        <v>46154</v>
      </c>
      <c r="AA2" s="8">
        <f>Z2+7</f>
        <v>46161</v>
      </c>
    </row>
    <row r="3" spans="1:27" ht="25.5" customHeight="1" x14ac:dyDescent="0.25">
      <c r="A3" s="71" t="s">
        <v>19</v>
      </c>
      <c r="B3" s="74" t="s">
        <v>27</v>
      </c>
      <c r="C3" s="72" t="s">
        <v>23</v>
      </c>
      <c r="D3" s="73"/>
      <c r="E3" s="73"/>
      <c r="F3" s="73"/>
      <c r="G3" s="73"/>
      <c r="H3" s="73"/>
      <c r="I3" s="73"/>
      <c r="J3" s="73"/>
      <c r="K3" s="73" t="s">
        <v>24</v>
      </c>
      <c r="L3" s="73"/>
      <c r="M3" s="73"/>
      <c r="N3" s="73"/>
      <c r="O3" s="73"/>
      <c r="P3" s="73"/>
      <c r="Q3" s="73"/>
      <c r="R3" s="73"/>
      <c r="S3" s="73"/>
      <c r="T3" s="32"/>
      <c r="U3" s="117"/>
      <c r="V3" s="32"/>
      <c r="W3" s="97"/>
      <c r="X3" s="38"/>
      <c r="Y3" s="38"/>
      <c r="Z3" s="39"/>
      <c r="AA3" s="92" t="s">
        <v>4</v>
      </c>
    </row>
    <row r="4" spans="1:27" x14ac:dyDescent="0.25">
      <c r="A4" s="71"/>
      <c r="B4" s="75"/>
      <c r="C4" s="40"/>
      <c r="D4" s="19"/>
      <c r="E4" s="20"/>
      <c r="F4" s="37"/>
      <c r="G4" s="37"/>
      <c r="H4" s="76" t="s">
        <v>33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37"/>
      <c r="U4" s="118"/>
      <c r="V4" s="19"/>
      <c r="W4" s="37"/>
      <c r="X4" s="19"/>
      <c r="Y4" s="19"/>
      <c r="Z4" s="41"/>
      <c r="AA4" s="93"/>
    </row>
    <row r="5" spans="1:27" ht="26.25" customHeight="1" thickBot="1" x14ac:dyDescent="0.3">
      <c r="A5" s="71"/>
      <c r="B5" s="75"/>
      <c r="C5" s="40"/>
      <c r="D5" s="19"/>
      <c r="E5" s="20"/>
      <c r="F5" s="37"/>
      <c r="G5" s="37"/>
      <c r="H5" s="19"/>
      <c r="I5" s="19"/>
      <c r="J5" s="19"/>
      <c r="K5" s="37"/>
      <c r="L5" s="20"/>
      <c r="M5" s="19"/>
      <c r="N5" s="19"/>
      <c r="O5" s="37"/>
      <c r="P5" s="19"/>
      <c r="Q5" s="106"/>
      <c r="R5" s="19"/>
      <c r="S5" s="37"/>
      <c r="T5" s="62" t="s">
        <v>26</v>
      </c>
      <c r="U5" s="62"/>
      <c r="V5" s="62"/>
      <c r="W5" s="62"/>
      <c r="X5" s="63" t="s">
        <v>25</v>
      </c>
      <c r="Y5" s="63"/>
      <c r="Z5" s="64"/>
      <c r="AA5" s="93"/>
    </row>
    <row r="6" spans="1:27" ht="13.2" customHeight="1" x14ac:dyDescent="0.25">
      <c r="A6" s="77" t="s">
        <v>20</v>
      </c>
      <c r="B6" s="75"/>
      <c r="C6" s="82" t="s">
        <v>0</v>
      </c>
      <c r="D6" s="83"/>
      <c r="E6" s="83"/>
      <c r="F6" s="83"/>
      <c r="G6" s="83"/>
      <c r="H6" s="83"/>
      <c r="I6" s="83"/>
      <c r="J6" s="83"/>
      <c r="K6" s="84"/>
      <c r="L6" s="68" t="s">
        <v>1</v>
      </c>
      <c r="M6" s="68"/>
      <c r="N6" s="68"/>
      <c r="O6" s="68"/>
      <c r="P6" s="68" t="s">
        <v>8</v>
      </c>
      <c r="Q6" s="68"/>
      <c r="R6" s="68"/>
      <c r="S6" s="68"/>
      <c r="T6" s="32"/>
      <c r="U6" s="117"/>
      <c r="V6" s="32"/>
      <c r="W6" s="98"/>
      <c r="X6" s="33"/>
      <c r="Y6" s="33"/>
      <c r="Z6" s="34"/>
      <c r="AA6" s="93"/>
    </row>
    <row r="7" spans="1:27" x14ac:dyDescent="0.25">
      <c r="A7" s="79"/>
      <c r="B7" s="75"/>
      <c r="C7" s="35"/>
      <c r="D7" s="24"/>
      <c r="E7" s="26"/>
      <c r="F7" s="58"/>
      <c r="H7" s="24"/>
      <c r="I7" s="24"/>
      <c r="J7" s="24"/>
      <c r="K7" s="58"/>
      <c r="L7" s="26"/>
      <c r="M7" s="24"/>
      <c r="N7" s="69" t="s">
        <v>29</v>
      </c>
      <c r="O7" s="69"/>
      <c r="P7" s="69"/>
      <c r="Q7" s="69"/>
      <c r="R7" s="69"/>
      <c r="S7" s="69"/>
      <c r="T7" s="66" t="s">
        <v>30</v>
      </c>
      <c r="U7" s="66"/>
      <c r="V7" s="66"/>
      <c r="W7" s="66"/>
      <c r="X7" s="31"/>
      <c r="Y7" s="31"/>
      <c r="Z7" s="36"/>
      <c r="AA7" s="93"/>
    </row>
    <row r="8" spans="1:27" x14ac:dyDescent="0.25">
      <c r="A8" s="80"/>
      <c r="B8" s="75"/>
      <c r="C8" s="35"/>
      <c r="D8" s="24"/>
      <c r="E8" s="26"/>
      <c r="F8" s="58"/>
      <c r="H8" s="24"/>
      <c r="I8" s="24"/>
      <c r="J8" s="24"/>
      <c r="K8" s="58"/>
      <c r="L8" s="26"/>
      <c r="M8" s="24"/>
      <c r="N8" s="29"/>
      <c r="P8" s="66" t="s">
        <v>31</v>
      </c>
      <c r="Q8" s="66"/>
      <c r="R8" s="66"/>
      <c r="S8" s="66"/>
      <c r="T8" s="66" t="s">
        <v>9</v>
      </c>
      <c r="U8" s="66"/>
      <c r="V8" s="66"/>
      <c r="W8" s="66"/>
      <c r="X8" s="31"/>
      <c r="Y8" s="31"/>
      <c r="Z8" s="36"/>
      <c r="AA8" s="93"/>
    </row>
    <row r="9" spans="1:27" x14ac:dyDescent="0.25">
      <c r="A9" s="80"/>
      <c r="B9" s="75"/>
      <c r="C9" s="35"/>
      <c r="D9" s="24"/>
      <c r="E9" s="26"/>
      <c r="F9" s="58"/>
      <c r="H9" s="24"/>
      <c r="I9" s="24"/>
      <c r="J9" s="24"/>
      <c r="K9" s="58"/>
      <c r="L9" s="26"/>
      <c r="M9" s="24"/>
      <c r="N9" s="29"/>
      <c r="P9" s="70" t="s">
        <v>32</v>
      </c>
      <c r="Q9" s="70"/>
      <c r="R9" s="70"/>
      <c r="S9" s="70"/>
      <c r="T9" s="70"/>
      <c r="U9" s="70"/>
      <c r="V9" s="70"/>
      <c r="W9" s="70"/>
      <c r="X9" s="31"/>
      <c r="Y9" s="31"/>
      <c r="Z9" s="36"/>
      <c r="AA9" s="93"/>
    </row>
    <row r="10" spans="1:27" ht="26.25" customHeight="1" thickBot="1" x14ac:dyDescent="0.3">
      <c r="A10" s="81"/>
      <c r="B10" s="75"/>
      <c r="C10" s="42"/>
      <c r="D10" s="11"/>
      <c r="E10" s="48"/>
      <c r="F10" s="43"/>
      <c r="G10" s="43"/>
      <c r="H10" s="11"/>
      <c r="I10" s="11"/>
      <c r="J10" s="11"/>
      <c r="L10" s="28"/>
      <c r="N10" s="24"/>
      <c r="O10" s="58"/>
      <c r="P10" s="24"/>
      <c r="Q10" s="107"/>
      <c r="R10" s="24"/>
      <c r="S10" s="58"/>
      <c r="T10" s="24"/>
      <c r="U10" s="115"/>
      <c r="V10" s="24"/>
      <c r="W10" s="43"/>
      <c r="X10" s="63" t="s">
        <v>25</v>
      </c>
      <c r="Y10" s="63"/>
      <c r="Z10" s="64"/>
      <c r="AA10" s="93"/>
    </row>
    <row r="11" spans="1:27" ht="25.5" customHeight="1" x14ac:dyDescent="0.25">
      <c r="A11" s="71" t="s">
        <v>22</v>
      </c>
      <c r="B11" s="75"/>
      <c r="C11" s="87" t="s">
        <v>34</v>
      </c>
      <c r="D11" s="88"/>
      <c r="E11" s="88"/>
      <c r="F11" s="88"/>
      <c r="G11" s="88"/>
      <c r="H11" s="88"/>
      <c r="I11" s="88"/>
      <c r="J11" s="88"/>
      <c r="K11" s="88"/>
      <c r="L11" s="88" t="s">
        <v>35</v>
      </c>
      <c r="M11" s="88"/>
      <c r="N11" s="88"/>
      <c r="O11" s="88"/>
      <c r="P11" s="89" t="s">
        <v>36</v>
      </c>
      <c r="Q11" s="89"/>
      <c r="R11" s="89"/>
      <c r="S11" s="89"/>
      <c r="T11" s="33"/>
      <c r="U11" s="116"/>
      <c r="V11" s="33"/>
      <c r="W11" s="99"/>
      <c r="X11" s="53"/>
      <c r="Y11" s="53"/>
      <c r="Z11" s="54"/>
      <c r="AA11" s="93"/>
    </row>
    <row r="12" spans="1:27" ht="12.75" customHeight="1" x14ac:dyDescent="0.25">
      <c r="A12" s="71"/>
      <c r="B12" s="75"/>
      <c r="C12" s="42"/>
      <c r="D12" s="11"/>
      <c r="E12" s="27"/>
      <c r="F12" s="43"/>
      <c r="G12" s="43"/>
      <c r="H12" s="11"/>
      <c r="I12" s="11"/>
      <c r="J12" s="11"/>
      <c r="L12" s="66" t="s">
        <v>37</v>
      </c>
      <c r="M12" s="66"/>
      <c r="N12" s="66"/>
      <c r="O12" s="66"/>
      <c r="P12" s="66"/>
      <c r="Q12" s="66"/>
      <c r="R12" s="66"/>
      <c r="S12" s="66"/>
      <c r="T12" s="24"/>
      <c r="U12" s="115"/>
      <c r="V12" s="24"/>
      <c r="W12" s="58"/>
      <c r="X12" s="29"/>
      <c r="Y12" s="29"/>
      <c r="Z12" s="55"/>
      <c r="AA12" s="93"/>
    </row>
    <row r="13" spans="1:27" ht="54.75" customHeight="1" thickBot="1" x14ac:dyDescent="0.3">
      <c r="A13" s="71"/>
      <c r="B13" s="75"/>
      <c r="C13" s="42"/>
      <c r="D13" s="11"/>
      <c r="E13" s="27"/>
      <c r="F13" s="43"/>
      <c r="G13" s="43"/>
      <c r="H13" s="11"/>
      <c r="I13" s="11"/>
      <c r="J13" s="11"/>
      <c r="L13" s="28"/>
      <c r="N13" s="11"/>
      <c r="P13" s="31"/>
      <c r="Q13" s="108"/>
      <c r="R13" s="31"/>
      <c r="S13" s="43"/>
      <c r="T13" s="62" t="s">
        <v>39</v>
      </c>
      <c r="U13" s="62"/>
      <c r="V13" s="62"/>
      <c r="W13" s="62"/>
      <c r="X13" s="63" t="s">
        <v>25</v>
      </c>
      <c r="Y13" s="63"/>
      <c r="Z13" s="64"/>
      <c r="AA13" s="93"/>
    </row>
    <row r="14" spans="1:27" ht="40.5" customHeight="1" x14ac:dyDescent="0.25">
      <c r="A14" s="77" t="s">
        <v>21</v>
      </c>
      <c r="B14" s="75"/>
      <c r="C14" s="87" t="s">
        <v>38</v>
      </c>
      <c r="D14" s="88"/>
      <c r="E14" s="88"/>
      <c r="F14" s="88"/>
      <c r="G14" s="88"/>
      <c r="H14" s="88"/>
      <c r="I14" s="88"/>
      <c r="J14" s="88"/>
      <c r="K14" s="88"/>
      <c r="L14" s="68" t="s">
        <v>7</v>
      </c>
      <c r="M14" s="68"/>
      <c r="N14" s="68"/>
      <c r="O14" s="68"/>
      <c r="P14" s="88" t="s">
        <v>41</v>
      </c>
      <c r="Q14" s="88"/>
      <c r="R14" s="88"/>
      <c r="S14" s="88"/>
      <c r="T14" s="96" t="s">
        <v>40</v>
      </c>
      <c r="U14" s="96"/>
      <c r="V14" s="96"/>
      <c r="W14" s="96"/>
      <c r="X14" s="33"/>
      <c r="Y14" s="33"/>
      <c r="Z14" s="34"/>
      <c r="AA14" s="93"/>
    </row>
    <row r="15" spans="1:27" ht="27" customHeight="1" thickBot="1" x14ac:dyDescent="0.3">
      <c r="A15" s="78"/>
      <c r="B15" s="75"/>
      <c r="C15" s="22"/>
      <c r="D15" s="29"/>
      <c r="E15" s="48"/>
      <c r="F15" s="43"/>
      <c r="H15" s="67"/>
      <c r="I15" s="67"/>
      <c r="J15" s="67"/>
      <c r="K15" s="100"/>
      <c r="L15" s="27"/>
      <c r="M15" s="11"/>
      <c r="Q15" s="108"/>
      <c r="R15" s="31"/>
      <c r="S15" s="43"/>
      <c r="T15" s="43"/>
      <c r="U15" s="113"/>
      <c r="V15" s="31"/>
      <c r="W15" s="43"/>
      <c r="X15" s="63" t="s">
        <v>25</v>
      </c>
      <c r="Y15" s="63"/>
      <c r="Z15" s="64"/>
      <c r="AA15" s="93"/>
    </row>
    <row r="16" spans="1:27" ht="66" customHeight="1" x14ac:dyDescent="0.25">
      <c r="A16" s="74" t="s">
        <v>2</v>
      </c>
      <c r="B16" s="74" t="s">
        <v>28</v>
      </c>
      <c r="C16" s="87" t="s">
        <v>6</v>
      </c>
      <c r="D16" s="88"/>
      <c r="E16" s="88"/>
      <c r="F16" s="88"/>
      <c r="G16" s="88"/>
      <c r="H16" s="88"/>
      <c r="I16" s="88"/>
      <c r="J16" s="88"/>
      <c r="K16" s="88"/>
      <c r="L16" s="88" t="s">
        <v>42</v>
      </c>
      <c r="M16" s="88"/>
      <c r="N16" s="88"/>
      <c r="O16" s="88"/>
      <c r="P16" s="88" t="s">
        <v>10</v>
      </c>
      <c r="Q16" s="88"/>
      <c r="R16" s="88"/>
      <c r="S16" s="88"/>
      <c r="T16" s="96" t="s">
        <v>43</v>
      </c>
      <c r="U16" s="96"/>
      <c r="V16" s="96"/>
      <c r="W16" s="96"/>
      <c r="X16" s="33"/>
      <c r="Y16" s="33"/>
      <c r="Z16" s="34"/>
      <c r="AA16" s="93"/>
    </row>
    <row r="17" spans="1:27" ht="26.25" customHeight="1" x14ac:dyDescent="0.25">
      <c r="A17" s="75"/>
      <c r="B17" s="75"/>
      <c r="C17" s="65" t="s">
        <v>45</v>
      </c>
      <c r="D17" s="66"/>
      <c r="E17" s="66"/>
      <c r="F17" s="66"/>
      <c r="G17" s="70" t="s">
        <v>44</v>
      </c>
      <c r="H17" s="70"/>
      <c r="I17" s="70"/>
      <c r="J17" s="70"/>
      <c r="K17" s="70"/>
      <c r="L17" s="30"/>
      <c r="M17" s="31"/>
      <c r="N17" s="11"/>
      <c r="Q17" s="109"/>
      <c r="S17" s="43"/>
      <c r="T17" s="43"/>
      <c r="U17" s="113"/>
      <c r="V17" s="31"/>
      <c r="W17" s="43"/>
      <c r="Z17" s="57"/>
      <c r="AA17" s="93"/>
    </row>
    <row r="18" spans="1:27" ht="33" customHeight="1" x14ac:dyDescent="0.25">
      <c r="A18" s="75"/>
      <c r="B18" s="75"/>
      <c r="C18" s="65" t="s">
        <v>12</v>
      </c>
      <c r="D18" s="66"/>
      <c r="E18" s="66"/>
      <c r="F18" s="66"/>
      <c r="G18" s="43"/>
      <c r="H18" s="31"/>
      <c r="I18" s="31"/>
      <c r="J18" s="31"/>
      <c r="L18" s="26"/>
      <c r="M18" s="24"/>
      <c r="N18" s="24"/>
      <c r="O18" s="43"/>
      <c r="P18" s="31"/>
      <c r="Q18" s="108"/>
      <c r="R18" s="31"/>
      <c r="S18" s="43"/>
      <c r="T18" s="43"/>
      <c r="U18" s="113"/>
      <c r="V18" s="31"/>
      <c r="W18" s="43"/>
      <c r="Z18" s="57"/>
      <c r="AA18" s="93"/>
    </row>
    <row r="19" spans="1:27" ht="25.5" customHeight="1" thickBot="1" x14ac:dyDescent="0.3">
      <c r="A19" s="95"/>
      <c r="B19" s="95"/>
      <c r="C19" s="23"/>
      <c r="D19" s="56"/>
      <c r="E19" s="44"/>
      <c r="F19" s="60"/>
      <c r="G19" s="52"/>
      <c r="H19" s="51"/>
      <c r="I19" s="51"/>
      <c r="J19" s="51"/>
      <c r="K19" s="101"/>
      <c r="L19" s="44"/>
      <c r="M19" s="56"/>
      <c r="N19" s="56"/>
      <c r="O19" s="52"/>
      <c r="P19" s="51"/>
      <c r="Q19" s="110"/>
      <c r="R19" s="51"/>
      <c r="S19" s="52"/>
      <c r="T19" s="52"/>
      <c r="U19" s="114"/>
      <c r="V19" s="51"/>
      <c r="W19" s="105"/>
      <c r="X19" s="90" t="s">
        <v>25</v>
      </c>
      <c r="Y19" s="90"/>
      <c r="Z19" s="91"/>
      <c r="AA19" s="94"/>
    </row>
    <row r="20" spans="1:27" ht="13.8" thickBot="1" x14ac:dyDescent="0.3">
      <c r="A20" s="16" t="s">
        <v>13</v>
      </c>
      <c r="B20" s="16"/>
      <c r="C20" s="49"/>
      <c r="D20" s="50"/>
      <c r="E20" s="14">
        <f>E2+6</f>
        <v>46013</v>
      </c>
      <c r="F20" s="86"/>
      <c r="G20" s="86"/>
      <c r="H20" s="51"/>
      <c r="I20" s="51"/>
      <c r="J20" s="51"/>
      <c r="K20" s="101"/>
      <c r="L20" s="14">
        <v>46059</v>
      </c>
      <c r="M20" s="51"/>
      <c r="N20" s="25"/>
      <c r="O20" s="101"/>
      <c r="P20" s="51"/>
      <c r="Q20" s="111">
        <v>46090</v>
      </c>
      <c r="R20" s="51"/>
      <c r="S20" s="101"/>
      <c r="T20" s="52"/>
      <c r="U20" s="14">
        <v>46125</v>
      </c>
      <c r="V20" s="25"/>
      <c r="W20" s="104"/>
      <c r="X20" s="51"/>
      <c r="Y20" s="51"/>
      <c r="Z20" s="51"/>
      <c r="AA20" s="15">
        <v>46163</v>
      </c>
    </row>
    <row r="21" spans="1:27" ht="40.200000000000003" thickBot="1" x14ac:dyDescent="0.3">
      <c r="A21" s="16" t="s">
        <v>14</v>
      </c>
      <c r="B21" s="16"/>
      <c r="C21" s="16"/>
      <c r="D21" s="45"/>
      <c r="E21" s="17" t="s">
        <v>18</v>
      </c>
      <c r="F21" s="85"/>
      <c r="G21" s="85"/>
      <c r="H21" s="45"/>
      <c r="I21" s="45"/>
      <c r="J21" s="45"/>
      <c r="K21" s="103"/>
      <c r="L21" s="17" t="s">
        <v>17</v>
      </c>
      <c r="M21" s="45"/>
      <c r="N21" s="46"/>
      <c r="O21" s="103"/>
      <c r="P21" s="45"/>
      <c r="Q21" s="112" t="s">
        <v>15</v>
      </c>
      <c r="R21" s="45"/>
      <c r="S21" s="103"/>
      <c r="T21" s="102"/>
      <c r="U21" s="17" t="s">
        <v>16</v>
      </c>
      <c r="V21" s="46"/>
      <c r="W21" s="47"/>
      <c r="X21" s="45"/>
      <c r="Y21" s="45"/>
      <c r="Z21" s="45"/>
      <c r="AA21" s="12" t="s">
        <v>11</v>
      </c>
    </row>
    <row r="24" spans="1:27" x14ac:dyDescent="0.25">
      <c r="B24" s="2"/>
    </row>
    <row r="64" spans="7:14" x14ac:dyDescent="0.25">
      <c r="G64" s="61"/>
      <c r="H64" s="1"/>
      <c r="I64" s="1"/>
      <c r="J64" s="1"/>
      <c r="K64" s="61"/>
      <c r="L64" s="1"/>
      <c r="M64" s="1"/>
      <c r="N64" s="1"/>
    </row>
    <row r="65" spans="5:14" x14ac:dyDescent="0.25">
      <c r="E65" s="1"/>
      <c r="F65" s="61"/>
      <c r="J65" s="1"/>
      <c r="K65" s="61"/>
      <c r="L65" s="1"/>
      <c r="M65" s="1"/>
      <c r="N65" s="1"/>
    </row>
    <row r="66" spans="5:14" x14ac:dyDescent="0.25">
      <c r="E66" s="1"/>
      <c r="F66" s="61"/>
      <c r="G66" s="61"/>
      <c r="H66" s="1"/>
      <c r="I66" s="1"/>
    </row>
    <row r="67" spans="5:14" x14ac:dyDescent="0.25">
      <c r="E67" s="1"/>
      <c r="F67" s="61"/>
      <c r="G67" s="61"/>
      <c r="H67" s="1"/>
      <c r="I67" s="1"/>
    </row>
  </sheetData>
  <mergeCells count="44">
    <mergeCell ref="X19:Z19"/>
    <mergeCell ref="AA3:AA19"/>
    <mergeCell ref="G17:K17"/>
    <mergeCell ref="B16:B19"/>
    <mergeCell ref="A16:A19"/>
    <mergeCell ref="X15:Z15"/>
    <mergeCell ref="C16:K16"/>
    <mergeCell ref="L16:O16"/>
    <mergeCell ref="P16:S16"/>
    <mergeCell ref="T16:W16"/>
    <mergeCell ref="X13:Z13"/>
    <mergeCell ref="C14:K14"/>
    <mergeCell ref="L14:O14"/>
    <mergeCell ref="P14:S14"/>
    <mergeCell ref="T14:W14"/>
    <mergeCell ref="T13:W13"/>
    <mergeCell ref="F21:G21"/>
    <mergeCell ref="F20:G20"/>
    <mergeCell ref="C11:K11"/>
    <mergeCell ref="L11:O11"/>
    <mergeCell ref="L12:S12"/>
    <mergeCell ref="P11:S11"/>
    <mergeCell ref="A3:A5"/>
    <mergeCell ref="A11:A13"/>
    <mergeCell ref="C3:J3"/>
    <mergeCell ref="B3:B15"/>
    <mergeCell ref="K3:S3"/>
    <mergeCell ref="H4:S4"/>
    <mergeCell ref="A14:A15"/>
    <mergeCell ref="A6:A10"/>
    <mergeCell ref="C6:K6"/>
    <mergeCell ref="T5:W5"/>
    <mergeCell ref="X5:Z5"/>
    <mergeCell ref="X10:Z10"/>
    <mergeCell ref="C18:F18"/>
    <mergeCell ref="C17:F17"/>
    <mergeCell ref="H15:J15"/>
    <mergeCell ref="L6:O6"/>
    <mergeCell ref="T8:W8"/>
    <mergeCell ref="N7:S7"/>
    <mergeCell ref="T7:W7"/>
    <mergeCell ref="P8:S8"/>
    <mergeCell ref="P9:W9"/>
    <mergeCell ref="P6:S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6594-CCAE-428F-8440-E7B8BFA4DC3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Time_table</vt:lpstr>
      <vt:lpstr>Sheet1</vt:lpstr>
      <vt:lpstr>_23_november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Kilyen Nandor (RBRO/ENG2)</dc:creator>
  <cp:lastModifiedBy>Trung Anh Đoàn Đắc</cp:lastModifiedBy>
  <cp:lastPrinted>2021-10-13T08:36:06Z</cp:lastPrinted>
  <dcterms:created xsi:type="dcterms:W3CDTF">2019-02-11T06:52:45Z</dcterms:created>
  <dcterms:modified xsi:type="dcterms:W3CDTF">2025-12-21T16:39:50Z</dcterms:modified>
</cp:coreProperties>
</file>